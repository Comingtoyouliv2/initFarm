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 Data" sheetId="1" state="visible" r:id="rId1"/>
    <sheet xmlns:r="http://schemas.openxmlformats.org/officeDocument/2006/relationships" name="Risk Scoring" sheetId="2" state="visible" r:id="rId2"/>
    <sheet xmlns:r="http://schemas.openxmlformats.org/officeDocument/2006/relationships" name="기준표 &amp; 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44444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i val="1"/>
      <color rgb="00999999"/>
      <sz val="10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i val="1"/>
      <color rgb="00AA6600"/>
      <sz val="10"/>
    </font>
    <font>
      <name val="Arial"/>
      <color rgb="00000000"/>
      <sz val="10"/>
    </font>
    <font>
      <name val="Arial"/>
      <color rgb="00555555"/>
      <sz val="9"/>
    </font>
    <font>
      <name val="Arial"/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404040"/>
      </patternFill>
    </fill>
    <fill>
      <patternFill patternType="solid">
        <fgColor rgb="002E4057"/>
      </patternFill>
    </fill>
    <fill>
      <patternFill patternType="solid">
        <fgColor rgb="00EBF3FB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164" fontId="5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5" customWidth="1" min="4" max="4"/>
    <col width="13" customWidth="1" min="5" max="5"/>
    <col width="14" customWidth="1" min="6" max="6"/>
    <col width="15" customWidth="1" min="7" max="7"/>
    <col width="18" customWidth="1" min="8" max="8"/>
    <col width="17" customWidth="1" min="9" max="9"/>
    <col width="15" customWidth="1" min="10" max="10"/>
    <col width="16" customWidth="1" min="11" max="11"/>
    <col width="13" customWidth="1" min="12" max="12"/>
    <col width="14" customWidth="1" min="13" max="13"/>
    <col width="13" customWidth="1" min="14" max="14"/>
    <col width="14" customWidth="1" min="15" max="15"/>
    <col width="14" customWidth="1" min="16" max="16"/>
    <col width="15" customWidth="1" min="17" max="17"/>
    <col width="13" customWidth="1" min="18" max="18"/>
    <col width="14" customWidth="1" min="19" max="19"/>
    <col width="14" customWidth="1" min="20" max="20"/>
  </cols>
  <sheetData>
    <row r="1" ht="32" customHeight="1">
      <c r="A1" s="1" t="inlineStr">
        <is>
          <t>DeFi 고이자율 증명 &amp; 이자 포트폴리오 구성 — APY Factor 조사 시트</t>
        </is>
      </c>
    </row>
    <row r="2" ht="18" customHeight="1">
      <c r="A2" s="2" t="inlineStr">
        <is>
          <t>■ 파란색 텍스트: 하드코딩 입력값  ■ 검은색 텍스트: 수식  ■ 노란 배경: 수동 업데이트 필요  ■ N/A: 온체인 직접 조사 필요 (DeFiLlama / Dune)</t>
        </is>
      </c>
    </row>
    <row r="3" ht="22" customHeight="1">
      <c r="A3" s="3" t="inlineStr">
        <is>
          <t>기본 정보</t>
        </is>
      </c>
      <c r="B3" s="3" t="inlineStr">
        <is>
          <t>기본 정보</t>
        </is>
      </c>
      <c r="C3" s="4" t="inlineStr">
        <is>
          <t>이자 지급 방식</t>
        </is>
      </c>
      <c r="D3" s="5" t="inlineStr">
        <is>
          <t>① TVL</t>
        </is>
      </c>
      <c r="H3" s="6" t="inlineStr">
        <is>
          <t>② APY 안정성</t>
        </is>
      </c>
      <c r="I3" s="7" t="inlineStr">
        <is>
          <t>③ Revenue Coverage</t>
        </is>
      </c>
      <c r="L3" s="8" t="inlineStr">
        <is>
          <t>④ TVL Concentration</t>
        </is>
      </c>
      <c r="O3" s="3" t="inlineStr">
        <is>
          <t>⑤ Token Price Trend</t>
        </is>
      </c>
      <c r="S3" s="9" t="inlineStr">
        <is>
          <t>⑥ Lock-up</t>
        </is>
      </c>
    </row>
    <row r="4" ht="48" customHeight="1">
      <c r="A4" s="10" t="inlineStr">
        <is>
          <t># / Ticker</t>
        </is>
      </c>
      <c r="B4" s="10" t="inlineStr">
        <is>
          <t>Protocol Name</t>
        </is>
      </c>
      <c r="C4" s="10" t="inlineStr">
        <is>
          <t>이자 지급 방식
(Rebase/Reward/Fee/
Lending/Trading)</t>
        </is>
      </c>
      <c r="D4" s="10" t="inlineStr">
        <is>
          <t>TVL Level
(USD)</t>
        </is>
      </c>
      <c r="E4" s="10" t="inlineStr">
        <is>
          <t>TVL Trend
(7d %)</t>
        </is>
      </c>
      <c r="F4" s="10" t="inlineStr">
        <is>
          <t>TVL Volatility
(30d σ)</t>
        </is>
      </c>
      <c r="G4" s="10" t="inlineStr">
        <is>
          <t>TVL 7d TWAP
(USD)</t>
        </is>
      </c>
      <c r="H4" s="10" t="inlineStr">
        <is>
          <t>APY 시계열 안정성
(명시 APY 유지율 %)</t>
        </is>
      </c>
      <c r="I4" s="10" t="inlineStr">
        <is>
          <t>Revenue_APR
(annual_rev/TVL)</t>
        </is>
      </c>
      <c r="J4" s="10" t="inlineStr">
        <is>
          <t>Fee_APR
(annual_fees/TVL)</t>
        </is>
      </c>
      <c r="K4" s="10" t="inlineStr">
        <is>
          <t>Coverage
(Rev_APR / Adv_APY)</t>
        </is>
      </c>
      <c r="L4" s="10" t="inlineStr">
        <is>
          <t>Top10_Share
(%)</t>
        </is>
      </c>
      <c r="M4" s="10" t="inlineStr">
        <is>
          <t>Herfindahl
Index (0~1)</t>
        </is>
      </c>
      <c r="N4" s="10" t="inlineStr">
        <is>
          <t>Whale_Risk
(Top1 %)</t>
        </is>
      </c>
      <c r="O4" s="10" t="inlineStr">
        <is>
          <t>Price_Return
_30d (%)</t>
        </is>
      </c>
      <c r="P4" s="10" t="inlineStr">
        <is>
          <t>Price_Return
_90d (%)</t>
        </is>
      </c>
      <c r="Q4" s="10" t="inlineStr">
        <is>
          <t>Price_Volatility
(daily σ)</t>
        </is>
      </c>
      <c r="R4" s="10" t="inlineStr">
        <is>
          <t>Price_Trend
(slope)</t>
        </is>
      </c>
      <c r="S4" s="10" t="inlineStr">
        <is>
          <t>Lock-up
Period</t>
        </is>
      </c>
      <c r="T4" s="10" t="inlineStr">
        <is>
          <t>Lock-up
Score (0~10)</t>
        </is>
      </c>
    </row>
    <row r="5" ht="20" customHeight="1">
      <c r="A5" s="11" t="inlineStr">
        <is>
          <t>DYM</t>
        </is>
      </c>
      <c r="B5" s="11" t="inlineStr">
        <is>
          <t>Dymension</t>
        </is>
      </c>
      <c r="C5" s="11" t="inlineStr">
        <is>
          <t>Reward Token</t>
        </is>
      </c>
      <c r="D5" s="11" t="inlineStr">
        <is>
          <t>$4.5M</t>
        </is>
      </c>
      <c r="E5" s="12" t="inlineStr">
        <is>
          <t>N/A</t>
        </is>
      </c>
      <c r="F5" s="12" t="inlineStr">
        <is>
          <t>N/A</t>
        </is>
      </c>
      <c r="G5" s="12" t="inlineStr">
        <is>
          <t>N/A</t>
        </is>
      </c>
      <c r="H5" s="12" t="inlineStr">
        <is>
          <t>N/A</t>
        </is>
      </c>
      <c r="I5" s="12" t="inlineStr">
        <is>
          <t>N/A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N/A</t>
        </is>
      </c>
      <c r="M5" s="12" t="inlineStr">
        <is>
          <t>N/A</t>
        </is>
      </c>
      <c r="N5" s="12" t="inlineStr">
        <is>
          <t>N/A</t>
        </is>
      </c>
      <c r="O5" s="12" t="inlineStr">
        <is>
          <t>N/A</t>
        </is>
      </c>
      <c r="P5" s="12" t="inlineStr">
        <is>
          <t>N/A</t>
        </is>
      </c>
      <c r="Q5" s="12" t="inlineStr">
        <is>
          <t>N/A</t>
        </is>
      </c>
      <c r="R5" s="12" t="inlineStr">
        <is>
          <t>N/A</t>
        </is>
      </c>
      <c r="S5" s="11" t="inlineStr">
        <is>
          <t>&lt; 7일</t>
        </is>
      </c>
      <c r="T5" s="11" t="n">
        <v>2</v>
      </c>
    </row>
    <row r="6" ht="20" customHeight="1">
      <c r="A6" s="13" t="inlineStr">
        <is>
          <t>TAO</t>
        </is>
      </c>
      <c r="B6" s="13" t="inlineStr">
        <is>
          <t>Bittensor</t>
        </is>
      </c>
      <c r="C6" s="13" t="inlineStr">
        <is>
          <t>Reward Token</t>
        </is>
      </c>
      <c r="D6" s="12" t="inlineStr">
        <is>
          <t>N/A</t>
        </is>
      </c>
      <c r="E6" s="12" t="inlineStr">
        <is>
          <t>N/A</t>
        </is>
      </c>
      <c r="F6" s="12" t="inlineStr">
        <is>
          <t>N/A</t>
        </is>
      </c>
      <c r="G6" s="12" t="inlineStr">
        <is>
          <t>N/A</t>
        </is>
      </c>
      <c r="H6" s="12" t="inlineStr">
        <is>
          <t>N/A</t>
        </is>
      </c>
      <c r="I6" s="12" t="inlineStr">
        <is>
          <t>N/A</t>
        </is>
      </c>
      <c r="J6" s="12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2" t="inlineStr">
        <is>
          <t>N/A</t>
        </is>
      </c>
      <c r="N6" s="12" t="inlineStr">
        <is>
          <t>N/A</t>
        </is>
      </c>
      <c r="O6" s="12" t="inlineStr">
        <is>
          <t>N/A</t>
        </is>
      </c>
      <c r="P6" s="12" t="inlineStr">
        <is>
          <t>N/A</t>
        </is>
      </c>
      <c r="Q6" s="12" t="inlineStr">
        <is>
          <t>N/A</t>
        </is>
      </c>
      <c r="R6" s="12" t="inlineStr">
        <is>
          <t>N/A</t>
        </is>
      </c>
      <c r="S6" s="13" t="inlineStr">
        <is>
          <t>&lt; 7일</t>
        </is>
      </c>
      <c r="T6" s="13" t="n">
        <v>2</v>
      </c>
    </row>
    <row r="7" ht="20" customHeight="1">
      <c r="A7" s="11" t="inlineStr">
        <is>
          <t>GRT</t>
        </is>
      </c>
      <c r="B7" s="11" t="inlineStr">
        <is>
          <t>The Graph</t>
        </is>
      </c>
      <c r="C7" s="11" t="inlineStr">
        <is>
          <t>Fee Sharing</t>
        </is>
      </c>
      <c r="D7" s="12" t="inlineStr">
        <is>
          <t>N/A</t>
        </is>
      </c>
      <c r="E7" s="12" t="inlineStr">
        <is>
          <t>N/A</t>
        </is>
      </c>
      <c r="F7" s="12" t="inlineStr">
        <is>
          <t>N/A</t>
        </is>
      </c>
      <c r="G7" s="12" t="inlineStr">
        <is>
          <t>N/A</t>
        </is>
      </c>
      <c r="H7" s="12" t="inlineStr">
        <is>
          <t>N/A</t>
        </is>
      </c>
      <c r="I7" s="12" t="inlineStr">
        <is>
          <t>N/A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2" t="inlineStr">
        <is>
          <t>N/A</t>
        </is>
      </c>
      <c r="N7" s="12" t="inlineStr">
        <is>
          <t>N/A</t>
        </is>
      </c>
      <c r="O7" s="12" t="inlineStr">
        <is>
          <t>N/A</t>
        </is>
      </c>
      <c r="P7" s="12" t="inlineStr">
        <is>
          <t>N/A</t>
        </is>
      </c>
      <c r="Q7" s="12" t="inlineStr">
        <is>
          <t>N/A</t>
        </is>
      </c>
      <c r="R7" s="12" t="inlineStr">
        <is>
          <t>N/A</t>
        </is>
      </c>
      <c r="S7" s="12" t="inlineStr">
        <is>
          <t>N/A</t>
        </is>
      </c>
      <c r="T7" s="11" t="n">
        <v>0</v>
      </c>
    </row>
    <row r="8" ht="20" customHeight="1">
      <c r="A8" s="13" t="inlineStr">
        <is>
          <t>KSM</t>
        </is>
      </c>
      <c r="B8" s="13" t="inlineStr">
        <is>
          <t>Kusama</t>
        </is>
      </c>
      <c r="C8" s="13" t="inlineStr">
        <is>
          <t>Reward Token</t>
        </is>
      </c>
      <c r="D8" s="12" t="inlineStr">
        <is>
          <t>N/A</t>
        </is>
      </c>
      <c r="E8" s="12" t="inlineStr">
        <is>
          <t>N/A</t>
        </is>
      </c>
      <c r="F8" s="12" t="inlineStr">
        <is>
          <t>N/A</t>
        </is>
      </c>
      <c r="G8" s="12" t="inlineStr">
        <is>
          <t>N/A</t>
        </is>
      </c>
      <c r="H8" s="12" t="inlineStr">
        <is>
          <t>N/A</t>
        </is>
      </c>
      <c r="I8" s="12" t="inlineStr">
        <is>
          <t>N/A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2" t="inlineStr">
        <is>
          <t>N/A</t>
        </is>
      </c>
      <c r="N8" s="12" t="inlineStr">
        <is>
          <t>N/A</t>
        </is>
      </c>
      <c r="O8" s="12" t="inlineStr">
        <is>
          <t>N/A</t>
        </is>
      </c>
      <c r="P8" s="12" t="inlineStr">
        <is>
          <t>N/A</t>
        </is>
      </c>
      <c r="Q8" s="12" t="inlineStr">
        <is>
          <t>N/A</t>
        </is>
      </c>
      <c r="R8" s="12" t="inlineStr">
        <is>
          <t>N/A</t>
        </is>
      </c>
      <c r="S8" s="13">
        <f> 7일</f>
        <v/>
      </c>
      <c r="T8" s="13" t="n">
        <v>4</v>
      </c>
    </row>
    <row r="9" ht="20" customHeight="1">
      <c r="A9" s="11" t="inlineStr">
        <is>
          <t>SKL</t>
        </is>
      </c>
      <c r="B9" s="11" t="inlineStr">
        <is>
          <t>SKALE</t>
        </is>
      </c>
      <c r="C9" s="11" t="inlineStr">
        <is>
          <t>Fee Sharing</t>
        </is>
      </c>
      <c r="D9" s="12" t="inlineStr">
        <is>
          <t>N/A</t>
        </is>
      </c>
      <c r="E9" s="12" t="inlineStr">
        <is>
          <t>N/A</t>
        </is>
      </c>
      <c r="F9" s="12" t="inlineStr">
        <is>
          <t>N/A</t>
        </is>
      </c>
      <c r="G9" s="12" t="inlineStr">
        <is>
          <t>N/A</t>
        </is>
      </c>
      <c r="H9" s="12" t="inlineStr">
        <is>
          <t>N/A</t>
        </is>
      </c>
      <c r="I9" s="12" t="inlineStr">
        <is>
          <t>N/A</t>
        </is>
      </c>
      <c r="J9" s="12" t="inlineStr">
        <is>
          <t>N/A</t>
        </is>
      </c>
      <c r="K9" s="12" t="inlineStr">
        <is>
          <t>N/A</t>
        </is>
      </c>
      <c r="L9" s="12" t="inlineStr">
        <is>
          <t>N/A</t>
        </is>
      </c>
      <c r="M9" s="12" t="inlineStr">
        <is>
          <t>N/A</t>
        </is>
      </c>
      <c r="N9" s="12" t="inlineStr">
        <is>
          <t>N/A</t>
        </is>
      </c>
      <c r="O9" s="12" t="inlineStr">
        <is>
          <t>N/A</t>
        </is>
      </c>
      <c r="P9" s="12" t="inlineStr">
        <is>
          <t>N/A</t>
        </is>
      </c>
      <c r="Q9" s="12" t="inlineStr">
        <is>
          <t>N/A</t>
        </is>
      </c>
      <c r="R9" s="12" t="inlineStr">
        <is>
          <t>N/A</t>
        </is>
      </c>
      <c r="S9" s="12" t="inlineStr">
        <is>
          <t>N/A</t>
        </is>
      </c>
      <c r="T9" s="11" t="n">
        <v>0</v>
      </c>
    </row>
    <row r="10" ht="20" customHeight="1">
      <c r="A10" s="13" t="inlineStr">
        <is>
          <t>CSPR</t>
        </is>
      </c>
      <c r="B10" s="13" t="inlineStr">
        <is>
          <t>Casper Network</t>
        </is>
      </c>
      <c r="C10" s="13" t="inlineStr">
        <is>
          <t>Rebase</t>
        </is>
      </c>
      <c r="D10" s="12" t="inlineStr">
        <is>
          <t>N/A</t>
        </is>
      </c>
      <c r="E10" s="12" t="inlineStr">
        <is>
          <t>N/A</t>
        </is>
      </c>
      <c r="F10" s="12" t="inlineStr">
        <is>
          <t>N/A</t>
        </is>
      </c>
      <c r="G10" s="12" t="inlineStr">
        <is>
          <t>N/A</t>
        </is>
      </c>
      <c r="H10" s="12" t="inlineStr">
        <is>
          <t>N/A</t>
        </is>
      </c>
      <c r="I10" s="12" t="inlineStr">
        <is>
          <t>N/A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2" t="inlineStr">
        <is>
          <t>N/A</t>
        </is>
      </c>
      <c r="N10" s="12" t="inlineStr">
        <is>
          <t>N/A</t>
        </is>
      </c>
      <c r="O10" s="12" t="inlineStr">
        <is>
          <t>N/A</t>
        </is>
      </c>
      <c r="P10" s="12" t="inlineStr">
        <is>
          <t>N/A</t>
        </is>
      </c>
      <c r="Q10" s="12" t="inlineStr">
        <is>
          <t>N/A</t>
        </is>
      </c>
      <c r="R10" s="12" t="inlineStr">
        <is>
          <t>N/A</t>
        </is>
      </c>
      <c r="S10" s="12" t="inlineStr">
        <is>
          <t>N/A</t>
        </is>
      </c>
      <c r="T10" s="13" t="n">
        <v>0</v>
      </c>
    </row>
    <row r="11" ht="20" customHeight="1">
      <c r="A11" s="11" t="inlineStr">
        <is>
          <t>GLMR</t>
        </is>
      </c>
      <c r="B11" s="11" t="inlineStr">
        <is>
          <t>Moonbeam</t>
        </is>
      </c>
      <c r="C11" s="11" t="inlineStr">
        <is>
          <t>Reward Token</t>
        </is>
      </c>
      <c r="D11" s="12" t="inlineStr">
        <is>
          <t>N/A</t>
        </is>
      </c>
      <c r="E11" s="12" t="inlineStr">
        <is>
          <t>N/A</t>
        </is>
      </c>
      <c r="F11" s="12" t="inlineStr">
        <is>
          <t>N/A</t>
        </is>
      </c>
      <c r="G11" s="12" t="inlineStr">
        <is>
          <t>N/A</t>
        </is>
      </c>
      <c r="H11" s="12" t="inlineStr">
        <is>
          <t>N/A</t>
        </is>
      </c>
      <c r="I11" s="12" t="inlineStr">
        <is>
          <t>N/A</t>
        </is>
      </c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2" t="inlineStr">
        <is>
          <t>N/A</t>
        </is>
      </c>
      <c r="N11" s="12" t="inlineStr">
        <is>
          <t>N/A</t>
        </is>
      </c>
      <c r="O11" s="12" t="inlineStr">
        <is>
          <t>N/A</t>
        </is>
      </c>
      <c r="P11" s="12" t="inlineStr">
        <is>
          <t>N/A</t>
        </is>
      </c>
      <c r="Q11" s="12" t="inlineStr">
        <is>
          <t>N/A</t>
        </is>
      </c>
      <c r="R11" s="12" t="inlineStr">
        <is>
          <t>N/A</t>
        </is>
      </c>
      <c r="S11" s="12" t="inlineStr">
        <is>
          <t>N/A</t>
        </is>
      </c>
      <c r="T11" s="11" t="n">
        <v>0</v>
      </c>
    </row>
    <row r="12" ht="20" customHeight="1">
      <c r="A12" s="13" t="inlineStr">
        <is>
          <t>MON</t>
        </is>
      </c>
      <c r="B12" s="13" t="inlineStr">
        <is>
          <t>Monad</t>
        </is>
      </c>
      <c r="C12" s="13" t="inlineStr">
        <is>
          <t>Reward Token</t>
        </is>
      </c>
      <c r="D12" s="12" t="inlineStr">
        <is>
          <t>N/A</t>
        </is>
      </c>
      <c r="E12" s="12" t="inlineStr">
        <is>
          <t>N/A</t>
        </is>
      </c>
      <c r="F12" s="12" t="inlineStr">
        <is>
          <t>N/A</t>
        </is>
      </c>
      <c r="G12" s="12" t="inlineStr">
        <is>
          <t>N/A</t>
        </is>
      </c>
      <c r="H12" s="12" t="inlineStr">
        <is>
          <t>N/A</t>
        </is>
      </c>
      <c r="I12" s="12" t="inlineStr">
        <is>
          <t>N/A</t>
        </is>
      </c>
      <c r="J12" s="12" t="inlineStr">
        <is>
          <t>N/A</t>
        </is>
      </c>
      <c r="K12" s="12" t="inlineStr">
        <is>
          <t>N/A</t>
        </is>
      </c>
      <c r="L12" s="12" t="inlineStr">
        <is>
          <t>N/A</t>
        </is>
      </c>
      <c r="M12" s="12" t="inlineStr">
        <is>
          <t>N/A</t>
        </is>
      </c>
      <c r="N12" s="12" t="inlineStr">
        <is>
          <t>N/A</t>
        </is>
      </c>
      <c r="O12" s="12" t="inlineStr">
        <is>
          <t>N/A</t>
        </is>
      </c>
      <c r="P12" s="12" t="inlineStr">
        <is>
          <t>N/A</t>
        </is>
      </c>
      <c r="Q12" s="12" t="inlineStr">
        <is>
          <t>N/A</t>
        </is>
      </c>
      <c r="R12" s="12" t="inlineStr">
        <is>
          <t>N/A</t>
        </is>
      </c>
      <c r="S12" s="12" t="inlineStr">
        <is>
          <t>N/A</t>
        </is>
      </c>
      <c r="T12" s="13" t="n">
        <v>0</v>
      </c>
    </row>
    <row r="13" ht="20" customHeight="1">
      <c r="A13" s="11" t="inlineStr">
        <is>
          <t>SQD</t>
        </is>
      </c>
      <c r="B13" s="11" t="inlineStr">
        <is>
          <t>Subsquid</t>
        </is>
      </c>
      <c r="C13" s="11" t="inlineStr">
        <is>
          <t>Fee Sharing</t>
        </is>
      </c>
      <c r="D13" s="12" t="inlineStr">
        <is>
          <t>N/A</t>
        </is>
      </c>
      <c r="E13" s="12" t="inlineStr">
        <is>
          <t>N/A</t>
        </is>
      </c>
      <c r="F13" s="12" t="inlineStr">
        <is>
          <t>N/A</t>
        </is>
      </c>
      <c r="G13" s="12" t="inlineStr">
        <is>
          <t>N/A</t>
        </is>
      </c>
      <c r="H13" s="12" t="inlineStr">
        <is>
          <t>N/A</t>
        </is>
      </c>
      <c r="I13" s="12" t="inlineStr">
        <is>
          <t>N/A</t>
        </is>
      </c>
      <c r="J13" s="12" t="inlineStr">
        <is>
          <t>N/A</t>
        </is>
      </c>
      <c r="K13" s="12" t="inlineStr">
        <is>
          <t>N/A</t>
        </is>
      </c>
      <c r="L13" s="12" t="inlineStr">
        <is>
          <t>N/A</t>
        </is>
      </c>
      <c r="M13" s="12" t="inlineStr">
        <is>
          <t>N/A</t>
        </is>
      </c>
      <c r="N13" s="12" t="inlineStr">
        <is>
          <t>N/A</t>
        </is>
      </c>
      <c r="O13" s="12" t="inlineStr">
        <is>
          <t>N/A</t>
        </is>
      </c>
      <c r="P13" s="12" t="inlineStr">
        <is>
          <t>N/A</t>
        </is>
      </c>
      <c r="Q13" s="12" t="inlineStr">
        <is>
          <t>N/A</t>
        </is>
      </c>
      <c r="R13" s="12" t="inlineStr">
        <is>
          <t>N/A</t>
        </is>
      </c>
      <c r="S13" s="12" t="inlineStr">
        <is>
          <t>N/A</t>
        </is>
      </c>
      <c r="T13" s="11" t="n">
        <v>0</v>
      </c>
    </row>
    <row r="14" ht="20" customHeight="1">
      <c r="A14" s="13" t="inlineStr">
        <is>
          <t>AXL</t>
        </is>
      </c>
      <c r="B14" s="13" t="inlineStr">
        <is>
          <t>Axelar</t>
        </is>
      </c>
      <c r="C14" s="13" t="inlineStr">
        <is>
          <t>Reward Token</t>
        </is>
      </c>
      <c r="D14" s="12" t="inlineStr">
        <is>
          <t>N/A</t>
        </is>
      </c>
      <c r="E14" s="12" t="inlineStr">
        <is>
          <t>N/A</t>
        </is>
      </c>
      <c r="F14" s="12" t="inlineStr">
        <is>
          <t>N/A</t>
        </is>
      </c>
      <c r="G14" s="12" t="inlineStr">
        <is>
          <t>N/A</t>
        </is>
      </c>
      <c r="H14" s="12" t="inlineStr">
        <is>
          <t>N/A</t>
        </is>
      </c>
      <c r="I14" s="12" t="inlineStr">
        <is>
          <t>N/A</t>
        </is>
      </c>
      <c r="J14" s="12" t="inlineStr">
        <is>
          <t>N/A</t>
        </is>
      </c>
      <c r="K14" s="12" t="inlineStr">
        <is>
          <t>N/A</t>
        </is>
      </c>
      <c r="L14" s="12" t="inlineStr">
        <is>
          <t>N/A</t>
        </is>
      </c>
      <c r="M14" s="12" t="inlineStr">
        <is>
          <t>N/A</t>
        </is>
      </c>
      <c r="N14" s="12" t="inlineStr">
        <is>
          <t>N/A</t>
        </is>
      </c>
      <c r="O14" s="12" t="inlineStr">
        <is>
          <t>N/A</t>
        </is>
      </c>
      <c r="P14" s="12" t="inlineStr">
        <is>
          <t>N/A</t>
        </is>
      </c>
      <c r="Q14" s="12" t="inlineStr">
        <is>
          <t>N/A</t>
        </is>
      </c>
      <c r="R14" s="12" t="inlineStr">
        <is>
          <t>N/A</t>
        </is>
      </c>
      <c r="S14" s="12" t="inlineStr">
        <is>
          <t>N/A</t>
        </is>
      </c>
      <c r="T14" s="13" t="n">
        <v>0</v>
      </c>
    </row>
    <row r="15" ht="20" customHeight="1">
      <c r="A15" s="11" t="inlineStr">
        <is>
          <t>P2P</t>
        </is>
      </c>
      <c r="B15" s="11" t="inlineStr">
        <is>
          <t>Sentinel</t>
        </is>
      </c>
      <c r="C15" s="11" t="inlineStr">
        <is>
          <t>Fee Sharing</t>
        </is>
      </c>
      <c r="D15" s="12" t="inlineStr">
        <is>
          <t>N/A</t>
        </is>
      </c>
      <c r="E15" s="12" t="inlineStr">
        <is>
          <t>N/A</t>
        </is>
      </c>
      <c r="F15" s="12" t="inlineStr">
        <is>
          <t>N/A</t>
        </is>
      </c>
      <c r="G15" s="12" t="inlineStr">
        <is>
          <t>N/A</t>
        </is>
      </c>
      <c r="H15" s="12" t="inlineStr">
        <is>
          <t>N/A</t>
        </is>
      </c>
      <c r="I15" s="12" t="inlineStr">
        <is>
          <t>N/A</t>
        </is>
      </c>
      <c r="J15" s="12" t="inlineStr">
        <is>
          <t>N/A</t>
        </is>
      </c>
      <c r="K15" s="12" t="inlineStr">
        <is>
          <t>N/A</t>
        </is>
      </c>
      <c r="L15" s="12" t="inlineStr">
        <is>
          <t>N/A</t>
        </is>
      </c>
      <c r="M15" s="12" t="inlineStr">
        <is>
          <t>N/A</t>
        </is>
      </c>
      <c r="N15" s="12" t="inlineStr">
        <is>
          <t>N/A</t>
        </is>
      </c>
      <c r="O15" s="12" t="inlineStr">
        <is>
          <t>N/A</t>
        </is>
      </c>
      <c r="P15" s="12" t="inlineStr">
        <is>
          <t>N/A</t>
        </is>
      </c>
      <c r="Q15" s="12" t="inlineStr">
        <is>
          <t>N/A</t>
        </is>
      </c>
      <c r="R15" s="12" t="inlineStr">
        <is>
          <t>N/A</t>
        </is>
      </c>
      <c r="S15" s="12" t="inlineStr">
        <is>
          <t>N/A</t>
        </is>
      </c>
      <c r="T15" s="11" t="n">
        <v>0</v>
      </c>
    </row>
    <row r="16" ht="20" customHeight="1">
      <c r="A16" s="13" t="inlineStr">
        <is>
          <t>IRIS</t>
        </is>
      </c>
      <c r="B16" s="13" t="inlineStr">
        <is>
          <t>IRISnet</t>
        </is>
      </c>
      <c r="C16" s="13" t="inlineStr">
        <is>
          <t>Reward Token</t>
        </is>
      </c>
      <c r="D16" s="12" t="inlineStr">
        <is>
          <t>N/A</t>
        </is>
      </c>
      <c r="E16" s="12" t="inlineStr">
        <is>
          <t>N/A</t>
        </is>
      </c>
      <c r="F16" s="12" t="inlineStr">
        <is>
          <t>N/A</t>
        </is>
      </c>
      <c r="G16" s="12" t="inlineStr">
        <is>
          <t>N/A</t>
        </is>
      </c>
      <c r="H16" s="12" t="inlineStr">
        <is>
          <t>N/A</t>
        </is>
      </c>
      <c r="I16" s="12" t="inlineStr">
        <is>
          <t>N/A</t>
        </is>
      </c>
      <c r="J16" s="12" t="inlineStr">
        <is>
          <t>N/A</t>
        </is>
      </c>
      <c r="K16" s="12" t="inlineStr">
        <is>
          <t>N/A</t>
        </is>
      </c>
      <c r="L16" s="12" t="inlineStr">
        <is>
          <t>N/A</t>
        </is>
      </c>
      <c r="M16" s="12" t="inlineStr">
        <is>
          <t>N/A</t>
        </is>
      </c>
      <c r="N16" s="12" t="inlineStr">
        <is>
          <t>N/A</t>
        </is>
      </c>
      <c r="O16" s="12" t="inlineStr">
        <is>
          <t>N/A</t>
        </is>
      </c>
      <c r="P16" s="12" t="inlineStr">
        <is>
          <t>N/A</t>
        </is>
      </c>
      <c r="Q16" s="12" t="inlineStr">
        <is>
          <t>N/A</t>
        </is>
      </c>
      <c r="R16" s="12" t="inlineStr">
        <is>
          <t>N/A</t>
        </is>
      </c>
      <c r="S16" s="13" t="inlineStr">
        <is>
          <t>7~30일</t>
        </is>
      </c>
      <c r="T16" s="13" t="n">
        <v>4</v>
      </c>
    </row>
    <row r="17" ht="20" customHeight="1">
      <c r="A17" s="11" t="inlineStr">
        <is>
          <t>BABY</t>
        </is>
      </c>
      <c r="B17" s="11" t="inlineStr">
        <is>
          <t>Babylon</t>
        </is>
      </c>
      <c r="C17" s="11" t="inlineStr">
        <is>
          <t>Rebase</t>
        </is>
      </c>
      <c r="D17" s="12" t="inlineStr">
        <is>
          <t>N/A</t>
        </is>
      </c>
      <c r="E17" s="12" t="inlineStr">
        <is>
          <t>N/A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N/A</t>
        </is>
      </c>
      <c r="I17" s="12" t="inlineStr">
        <is>
          <t>N/A</t>
        </is>
      </c>
      <c r="J17" s="12" t="inlineStr">
        <is>
          <t>N/A</t>
        </is>
      </c>
      <c r="K17" s="12" t="inlineStr">
        <is>
          <t>N/A</t>
        </is>
      </c>
      <c r="L17" s="12" t="inlineStr">
        <is>
          <t>N/A</t>
        </is>
      </c>
      <c r="M17" s="12" t="inlineStr">
        <is>
          <t>N/A</t>
        </is>
      </c>
      <c r="N17" s="12" t="inlineStr">
        <is>
          <t>N/A</t>
        </is>
      </c>
      <c r="O17" s="12" t="inlineStr">
        <is>
          <t>N/A</t>
        </is>
      </c>
      <c r="P17" s="12" t="inlineStr">
        <is>
          <t>N/A</t>
        </is>
      </c>
      <c r="Q17" s="12" t="inlineStr">
        <is>
          <t>N/A</t>
        </is>
      </c>
      <c r="R17" s="12" t="inlineStr">
        <is>
          <t>N/A</t>
        </is>
      </c>
      <c r="S17" s="12" t="inlineStr">
        <is>
          <t>N/A</t>
        </is>
      </c>
      <c r="T17" s="11" t="n">
        <v>0</v>
      </c>
    </row>
    <row r="18" ht="20" customHeight="1">
      <c r="A18" s="13" t="inlineStr">
        <is>
          <t>ONE</t>
        </is>
      </c>
      <c r="B18" s="13" t="inlineStr">
        <is>
          <t>Harmony</t>
        </is>
      </c>
      <c r="C18" s="13" t="inlineStr">
        <is>
          <t>Reward Token</t>
        </is>
      </c>
      <c r="D18" s="12" t="inlineStr">
        <is>
          <t>N/A</t>
        </is>
      </c>
      <c r="E18" s="12" t="inlineStr">
        <is>
          <t>N/A</t>
        </is>
      </c>
      <c r="F18" s="12" t="inlineStr">
        <is>
          <t>N/A</t>
        </is>
      </c>
      <c r="G18" s="12" t="inlineStr">
        <is>
          <t>N/A</t>
        </is>
      </c>
      <c r="H18" s="12" t="inlineStr">
        <is>
          <t>N/A</t>
        </is>
      </c>
      <c r="I18" s="12" t="inlineStr">
        <is>
          <t>N/A</t>
        </is>
      </c>
      <c r="J18" s="12" t="inlineStr">
        <is>
          <t>N/A</t>
        </is>
      </c>
      <c r="K18" s="12" t="inlineStr">
        <is>
          <t>N/A</t>
        </is>
      </c>
      <c r="L18" s="12" t="inlineStr">
        <is>
          <t>N/A</t>
        </is>
      </c>
      <c r="M18" s="12" t="inlineStr">
        <is>
          <t>N/A</t>
        </is>
      </c>
      <c r="N18" s="12" t="inlineStr">
        <is>
          <t>N/A</t>
        </is>
      </c>
      <c r="O18" s="12" t="inlineStr">
        <is>
          <t>N/A</t>
        </is>
      </c>
      <c r="P18" s="12" t="inlineStr">
        <is>
          <t>N/A</t>
        </is>
      </c>
      <c r="Q18" s="12" t="inlineStr">
        <is>
          <t>N/A</t>
        </is>
      </c>
      <c r="R18" s="12" t="inlineStr">
        <is>
          <t>N/A</t>
        </is>
      </c>
      <c r="S18" s="13" t="inlineStr">
        <is>
          <t>&lt; 7일</t>
        </is>
      </c>
      <c r="T18" s="13" t="n">
        <v>2</v>
      </c>
    </row>
  </sheetData>
  <mergeCells count="7">
    <mergeCell ref="D3:G3"/>
    <mergeCell ref="A1:S1"/>
    <mergeCell ref="O3:R3"/>
    <mergeCell ref="I3:K3"/>
    <mergeCell ref="L3:N3"/>
    <mergeCell ref="S3:T3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30" customWidth="1" min="9" max="9"/>
  </cols>
  <sheetData>
    <row r="1" ht="30" customHeight="1">
      <c r="A1" s="14" t="inlineStr">
        <is>
          <t>Risk(δ) 스코어링 — Nominal APY vs Own APY 비교</t>
        </is>
      </c>
    </row>
    <row r="2">
      <c r="A2" s="15" t="inlineStr">
        <is>
          <t>Own APY = f(TVL, APY Period, TVL Concentration, APY Token Price Trend, Lockup Period)  |  Risk(δ) = Nominal APY − Own APY</t>
        </is>
      </c>
    </row>
    <row r="3" ht="40" customHeight="1">
      <c r="A3" s="10" t="inlineStr">
        <is>
          <t>Ticker</t>
        </is>
      </c>
      <c r="B3" s="10" t="inlineStr">
        <is>
          <t>Protocol</t>
        </is>
      </c>
      <c r="C3" s="10" t="inlineStr">
        <is>
          <t>Nominal APY
(플랫폼 공시, %)</t>
        </is>
      </c>
      <c r="D3" s="10" t="inlineStr">
        <is>
          <t>Own APY
(산출값, %)</t>
        </is>
      </c>
      <c r="E3" s="10" t="inlineStr">
        <is>
          <t>Risk δ
(Nominal − Own)</t>
        </is>
      </c>
      <c r="F3" s="10" t="inlineStr">
        <is>
          <t>Lock-up Score
(0~10)</t>
        </is>
      </c>
      <c r="G3" s="10" t="inlineStr">
        <is>
          <t>Coverage
(Rev/Adv APY)</t>
        </is>
      </c>
      <c r="H3" s="10" t="inlineStr">
        <is>
          <t>Overall Risk
등급</t>
        </is>
      </c>
      <c r="I3" s="10" t="inlineStr">
        <is>
          <t>비고 / 데이터 출처</t>
        </is>
      </c>
    </row>
    <row r="4" ht="22" customHeight="1">
      <c r="A4" s="16" t="inlineStr">
        <is>
          <t>DYM</t>
        </is>
      </c>
      <c r="B4" s="16" t="inlineStr">
        <is>
          <t>Dymension</t>
        </is>
      </c>
      <c r="C4" s="17" t="n">
        <v>13.8</v>
      </c>
      <c r="D4" s="18" t="inlineStr">
        <is>
          <t>수동 입력 필요</t>
        </is>
      </c>
      <c r="E4" s="19">
        <f>IF(D4="수동 입력 필요","—",C4-D4)</f>
        <v/>
      </c>
      <c r="F4" s="11" t="n">
        <v>2</v>
      </c>
      <c r="G4" s="18" t="inlineStr">
        <is>
          <t>수동 입력 필요</t>
        </is>
      </c>
      <c r="H4" s="19">
        <f>IF(D4="수동 입력 필요","미산출",IF(C4-D4&gt;5,"🔴 HIGH",IF(C4-D4&gt;2,"🟡 MED","🟢 LOW")))</f>
        <v/>
      </c>
      <c r="I4" s="20" t="inlineStr">
        <is>
          <t>stakingrewards.com | TVL $4.5M (staked) | 락업 &lt; 7일</t>
        </is>
      </c>
    </row>
    <row r="5" ht="22" customHeight="1">
      <c r="A5" s="21" t="inlineStr">
        <is>
          <t>TAO</t>
        </is>
      </c>
      <c r="B5" s="21" t="inlineStr">
        <is>
          <t>Bittensor</t>
        </is>
      </c>
      <c r="C5" s="22" t="n">
        <v>16.33</v>
      </c>
      <c r="D5" s="18" t="inlineStr">
        <is>
          <t>수동 입력 필요</t>
        </is>
      </c>
      <c r="E5" s="23">
        <f>IF(D5="수동 입력 필요","—",C5-D5)</f>
        <v/>
      </c>
      <c r="F5" s="13" t="n">
        <v>2</v>
      </c>
      <c r="G5" s="18" t="inlineStr">
        <is>
          <t>수동 입력 필요</t>
        </is>
      </c>
      <c r="H5" s="23">
        <f>IF(D5="수동 입력 필요","미산출",IF(C5-D5&gt;5,"🔴 HIGH",IF(C5-D5&gt;2,"🟡 MED","🟢 LOW")))</f>
        <v/>
      </c>
      <c r="I5" s="24" t="inlineStr">
        <is>
          <t>stakingrewards.com | APY 16.33~17.39% | 락업 &lt; 7일</t>
        </is>
      </c>
    </row>
    <row r="6" ht="22" customHeight="1">
      <c r="A6" s="16" t="inlineStr">
        <is>
          <t>GRT</t>
        </is>
      </c>
      <c r="B6" s="16" t="inlineStr">
        <is>
          <t>The Graph</t>
        </is>
      </c>
      <c r="C6" s="17" t="n">
        <v>16.02</v>
      </c>
      <c r="D6" s="18" t="inlineStr">
        <is>
          <t>수동 입력 필요</t>
        </is>
      </c>
      <c r="E6" s="19">
        <f>IF(D6="수동 입력 필요","—",C6-D6)</f>
        <v/>
      </c>
      <c r="F6" s="11" t="n">
        <v>0</v>
      </c>
      <c r="G6" s="18" t="inlineStr">
        <is>
          <t>수동 입력 필요</t>
        </is>
      </c>
      <c r="H6" s="19">
        <f>IF(D6="수동 입력 필요","미산출",IF(C6-D6&gt;5,"🔴 HIGH",IF(C6-D6&gt;2,"🟡 MED","🟢 LOW")))</f>
        <v/>
      </c>
      <c r="I6" s="20" t="inlineStr">
        <is>
          <t>stakingrewards.com | Kraken ~9.84% | Fee Sharing 구조</t>
        </is>
      </c>
    </row>
    <row r="7" ht="22" customHeight="1">
      <c r="A7" s="21" t="inlineStr">
        <is>
          <t>KSM</t>
        </is>
      </c>
      <c r="B7" s="21" t="inlineStr">
        <is>
          <t>Kusama</t>
        </is>
      </c>
      <c r="C7" s="22" t="n">
        <v>15.26</v>
      </c>
      <c r="D7" s="18" t="inlineStr">
        <is>
          <t>수동 입력 필요</t>
        </is>
      </c>
      <c r="E7" s="23">
        <f>IF(D7="수동 입력 필요","—",C7-D7)</f>
        <v/>
      </c>
      <c r="F7" s="13" t="n">
        <v>4</v>
      </c>
      <c r="G7" s="18" t="inlineStr">
        <is>
          <t>수동 입력 필요</t>
        </is>
      </c>
      <c r="H7" s="23">
        <f>IF(D7="수동 입력 필요","미산출",IF(C7-D7&gt;5,"🔴 HIGH",IF(C7-D7&gt;2,"🟡 MED","🟢 LOW")))</f>
        <v/>
      </c>
      <c r="I7" s="24" t="inlineStr">
        <is>
          <t>stakingrewards.com | Kraken ~15.86% | 락업 7일 고정</t>
        </is>
      </c>
    </row>
    <row r="8" ht="22" customHeight="1">
      <c r="A8" s="16" t="inlineStr">
        <is>
          <t>SKL</t>
        </is>
      </c>
      <c r="B8" s="16" t="inlineStr">
        <is>
          <t>SKALE</t>
        </is>
      </c>
      <c r="C8" s="17" t="n">
        <v>14.84</v>
      </c>
      <c r="D8" s="18" t="inlineStr">
        <is>
          <t>수동 입력 필요</t>
        </is>
      </c>
      <c r="E8" s="19">
        <f>IF(D8="수동 입력 필요","—",C8-D8)</f>
        <v/>
      </c>
      <c r="F8" s="11" t="n">
        <v>0</v>
      </c>
      <c r="G8" s="18" t="inlineStr">
        <is>
          <t>수동 입력 필요</t>
        </is>
      </c>
      <c r="H8" s="19">
        <f>IF(D8="수동 입력 필요","미산출",IF(C8-D8&gt;5,"🔴 HIGH",IF(C8-D8&gt;2,"🟡 MED","🟢 LOW")))</f>
        <v/>
      </c>
      <c r="I8" s="20" t="inlineStr">
        <is>
          <t>stakingrewards.com | APY ~14.84% | 락업 미확인</t>
        </is>
      </c>
    </row>
    <row r="9" ht="22" customHeight="1">
      <c r="A9" s="21" t="inlineStr">
        <is>
          <t>CSPR</t>
        </is>
      </c>
      <c r="B9" s="21" t="inlineStr">
        <is>
          <t>Casper Network</t>
        </is>
      </c>
      <c r="C9" s="22" t="n">
        <v>14.4</v>
      </c>
      <c r="D9" s="18" t="inlineStr">
        <is>
          <t>수동 입력 필요</t>
        </is>
      </c>
      <c r="E9" s="23">
        <f>IF(D9="수동 입력 필요","—",C9-D9)</f>
        <v/>
      </c>
      <c r="F9" s="13" t="n">
        <v>0</v>
      </c>
      <c r="G9" s="18" t="inlineStr">
        <is>
          <t>수동 입력 필요</t>
        </is>
      </c>
      <c r="H9" s="23">
        <f>IF(D9="수동 입력 필요","미산출",IF(C9-D9&gt;5,"🔴 HIGH",IF(C9-D9&gt;2,"🟡 MED","🟢 LOW")))</f>
        <v/>
      </c>
      <c r="I9" s="24" t="inlineStr">
        <is>
          <t>base 8% supply reward | stakingrewards.com</t>
        </is>
      </c>
    </row>
    <row r="10" ht="22" customHeight="1">
      <c r="A10" s="16" t="inlineStr">
        <is>
          <t>GLMR</t>
        </is>
      </c>
      <c r="B10" s="16" t="inlineStr">
        <is>
          <t>Moonbeam</t>
        </is>
      </c>
      <c r="C10" s="17" t="n">
        <v>14.1</v>
      </c>
      <c r="D10" s="18" t="inlineStr">
        <is>
          <t>수동 입력 필요</t>
        </is>
      </c>
      <c r="E10" s="19">
        <f>IF(D10="수동 입력 필요","—",C10-D10)</f>
        <v/>
      </c>
      <c r="F10" s="11" t="n">
        <v>0</v>
      </c>
      <c r="G10" s="18" t="inlineStr">
        <is>
          <t>수동 입력 필요</t>
        </is>
      </c>
      <c r="H10" s="19">
        <f>IF(D10="수동 입력 필요","미산출",IF(C10-D10&gt;5,"🔴 HIGH",IF(C10-D10&gt;2,"🟡 MED","🟢 LOW")))</f>
        <v/>
      </c>
      <c r="I10" s="20" t="inlineStr">
        <is>
          <t>stakingrewards.com | bifrost 7~9% liquid staking</t>
        </is>
      </c>
    </row>
    <row r="11" ht="22" customHeight="1">
      <c r="A11" s="21" t="inlineStr">
        <is>
          <t>MON</t>
        </is>
      </c>
      <c r="B11" s="21" t="inlineStr">
        <is>
          <t>Monad</t>
        </is>
      </c>
      <c r="C11" s="22" t="n">
        <v>13.11</v>
      </c>
      <c r="D11" s="18" t="inlineStr">
        <is>
          <t>수동 입력 필요</t>
        </is>
      </c>
      <c r="E11" s="23">
        <f>IF(D11="수동 입력 필요","—",C11-D11)</f>
        <v/>
      </c>
      <c r="F11" s="13" t="n">
        <v>0</v>
      </c>
      <c r="G11" s="18" t="inlineStr">
        <is>
          <t>수동 입력 필요</t>
        </is>
      </c>
      <c r="H11" s="23">
        <f>IF(D11="수동 입력 필요","미산출",IF(C11-D11&gt;5,"🔴 HIGH",IF(C11-D11&gt;2,"🟡 MED","🟢 LOW")))</f>
        <v/>
      </c>
      <c r="I11" s="24" t="inlineStr">
        <is>
          <t>stakingrewards.com (PRD 기준) | 락업 미확인</t>
        </is>
      </c>
    </row>
    <row r="12" ht="22" customHeight="1">
      <c r="A12" s="16" t="inlineStr">
        <is>
          <t>SQD</t>
        </is>
      </c>
      <c r="B12" s="16" t="inlineStr">
        <is>
          <t>Subsquid</t>
        </is>
      </c>
      <c r="C12" s="17" t="n">
        <v>12.94</v>
      </c>
      <c r="D12" s="18" t="inlineStr">
        <is>
          <t>수동 입력 필요</t>
        </is>
      </c>
      <c r="E12" s="19">
        <f>IF(D12="수동 입력 필요","—",C12-D12)</f>
        <v/>
      </c>
      <c r="F12" s="11" t="n">
        <v>0</v>
      </c>
      <c r="G12" s="18" t="inlineStr">
        <is>
          <t>수동 입력 필요</t>
        </is>
      </c>
      <c r="H12" s="19">
        <f>IF(D12="수동 입력 필요","미산출",IF(C12-D12&gt;5,"🔴 HIGH",IF(C12-D12&gt;2,"🟡 MED","🟢 LOW")))</f>
        <v/>
      </c>
      <c r="I12" s="20" t="inlineStr">
        <is>
          <t>stakingrewards.com (PRD 기준) | Fee Sharing</t>
        </is>
      </c>
    </row>
    <row r="13" ht="22" customHeight="1">
      <c r="A13" s="21" t="inlineStr">
        <is>
          <t>AXL</t>
        </is>
      </c>
      <c r="B13" s="21" t="inlineStr">
        <is>
          <t>Axelar</t>
        </is>
      </c>
      <c r="C13" s="22" t="n">
        <v>12.85</v>
      </c>
      <c r="D13" s="18" t="inlineStr">
        <is>
          <t>수동 입력 필요</t>
        </is>
      </c>
      <c r="E13" s="23">
        <f>IF(D13="수동 입력 필요","—",C13-D13)</f>
        <v/>
      </c>
      <c r="F13" s="13" t="n">
        <v>0</v>
      </c>
      <c r="G13" s="18" t="inlineStr">
        <is>
          <t>수동 입력 필요</t>
        </is>
      </c>
      <c r="H13" s="23">
        <f>IF(D13="수동 입력 필요","미산출",IF(C13-D13&gt;5,"🔴 HIGH",IF(C13-D13&gt;2,"🟡 MED","🟢 LOW")))</f>
        <v/>
      </c>
      <c r="I13" s="24" t="inlineStr">
        <is>
          <t>stakingrewards.com ~12.46% | p2p.org</t>
        </is>
      </c>
    </row>
    <row r="14" ht="22" customHeight="1">
      <c r="A14" s="16" t="inlineStr">
        <is>
          <t>P2P</t>
        </is>
      </c>
      <c r="B14" s="16" t="inlineStr">
        <is>
          <t>Sentinel</t>
        </is>
      </c>
      <c r="C14" s="17" t="n">
        <v>12.82</v>
      </c>
      <c r="D14" s="18" t="inlineStr">
        <is>
          <t>수동 입력 필요</t>
        </is>
      </c>
      <c r="E14" s="19">
        <f>IF(D14="수동 입력 필요","—",C14-D14)</f>
        <v/>
      </c>
      <c r="F14" s="11" t="n">
        <v>0</v>
      </c>
      <c r="G14" s="18" t="inlineStr">
        <is>
          <t>수동 입력 필요</t>
        </is>
      </c>
      <c r="H14" s="19">
        <f>IF(D14="수동 입력 필요","미산출",IF(C14-D14&gt;5,"🔴 HIGH",IF(C14-D14&gt;2,"🟡 MED","🟢 LOW")))</f>
        <v/>
      </c>
      <c r="I14" s="20" t="inlineStr">
        <is>
          <t>stakingrewards.com (PRD 기준) | Fee Sharing</t>
        </is>
      </c>
    </row>
    <row r="15" ht="22" customHeight="1">
      <c r="A15" s="21" t="inlineStr">
        <is>
          <t>IRIS</t>
        </is>
      </c>
      <c r="B15" s="21" t="inlineStr">
        <is>
          <t>IRISnet</t>
        </is>
      </c>
      <c r="C15" s="22" t="n">
        <v>12.59</v>
      </c>
      <c r="D15" s="18" t="inlineStr">
        <is>
          <t>수동 입력 필요</t>
        </is>
      </c>
      <c r="E15" s="23">
        <f>IF(D15="수동 입력 필요","—",C15-D15)</f>
        <v/>
      </c>
      <c r="F15" s="13" t="n">
        <v>4</v>
      </c>
      <c r="G15" s="18" t="inlineStr">
        <is>
          <t>수동 입력 필요</t>
        </is>
      </c>
      <c r="H15" s="23">
        <f>IF(D15="수동 입력 필요","미산출",IF(C15-D15&gt;5,"🔴 HIGH",IF(C15-D15&gt;2,"🟡 MED","🟢 LOW")))</f>
        <v/>
      </c>
      <c r="I15" s="24" t="inlineStr">
        <is>
          <t>p2p.org | 락업 21일 | stakingrewards ~11.78%</t>
        </is>
      </c>
    </row>
    <row r="16" ht="22" customHeight="1">
      <c r="A16" s="16" t="inlineStr">
        <is>
          <t>BABY</t>
        </is>
      </c>
      <c r="B16" s="16" t="inlineStr">
        <is>
          <t>Babylon</t>
        </is>
      </c>
      <c r="C16" s="17" t="n">
        <v>11.92</v>
      </c>
      <c r="D16" s="18" t="inlineStr">
        <is>
          <t>수동 입력 필요</t>
        </is>
      </c>
      <c r="E16" s="19">
        <f>IF(D16="수동 입력 필요","—",C16-D16)</f>
        <v/>
      </c>
      <c r="F16" s="11" t="n">
        <v>0</v>
      </c>
      <c r="G16" s="18" t="inlineStr">
        <is>
          <t>수동 입력 필요</t>
        </is>
      </c>
      <c r="H16" s="19">
        <f>IF(D16="수동 입력 필요","미산출",IF(C16-D16&gt;5,"🔴 HIGH",IF(C16-D16&gt;2,"🟡 MED","🟢 LOW")))</f>
        <v/>
      </c>
      <c r="I16" s="20" t="inlineStr">
        <is>
          <t>Inflation 8%→5.5% (거버넌스 제안) | 락업 미확인</t>
        </is>
      </c>
    </row>
    <row r="17" ht="22" customHeight="1">
      <c r="A17" s="21" t="inlineStr">
        <is>
          <t>ONE</t>
        </is>
      </c>
      <c r="B17" s="21" t="inlineStr">
        <is>
          <t>Harmony</t>
        </is>
      </c>
      <c r="C17" s="22" t="n">
        <v>11.58</v>
      </c>
      <c r="D17" s="18" t="inlineStr">
        <is>
          <t>수동 입력 필요</t>
        </is>
      </c>
      <c r="E17" s="23">
        <f>IF(D17="수동 입력 필요","—",C17-D17)</f>
        <v/>
      </c>
      <c r="F17" s="13" t="n">
        <v>2</v>
      </c>
      <c r="G17" s="18" t="inlineStr">
        <is>
          <t>수동 입력 필요</t>
        </is>
      </c>
      <c r="H17" s="23">
        <f>IF(D17="수동 입력 필요","미산출",IF(C17-D17&gt;5,"🔴 HIGH",IF(C17-D17&gt;2,"🟡 MED","🟢 LOW")))</f>
        <v/>
      </c>
      <c r="I17" s="24" t="inlineStr">
        <is>
          <t>coinbase ~12.35% | 락업 ~7 epochs (≈5~7일)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  <col width="2" customWidth="1" min="4" max="4"/>
    <col width="25" customWidth="1" min="5" max="5"/>
    <col width="22" customWidth="1" min="6" max="6"/>
    <col width="30" customWidth="1" min="7" max="7"/>
  </cols>
  <sheetData>
    <row r="1" ht="22" customHeight="1">
      <c r="A1" s="25" t="inlineStr">
        <is>
          <t>Lock-up Period 리스크 점수표</t>
        </is>
      </c>
      <c r="E1" s="26" t="inlineStr">
        <is>
          <t>Revenue Coverage 해석표</t>
        </is>
      </c>
    </row>
    <row r="2" ht="22" customHeight="1">
      <c r="A2" s="27" t="inlineStr">
        <is>
          <t>Lock-up 기간</t>
        </is>
      </c>
      <c r="B2" s="27" t="inlineStr">
        <is>
          <t>점수</t>
        </is>
      </c>
      <c r="C2" s="27" t="inlineStr">
        <is>
          <t>리스크 수준</t>
        </is>
      </c>
      <c r="E2" s="7" t="inlineStr">
        <is>
          <t>Coverage 값</t>
        </is>
      </c>
      <c r="F2" s="7" t="inlineStr">
        <is>
          <t>의미</t>
        </is>
      </c>
      <c r="G2" s="7" t="inlineStr">
        <is>
          <t>판단</t>
        </is>
      </c>
    </row>
    <row r="3" ht="22" customHeight="1">
      <c r="A3" s="28" t="inlineStr">
        <is>
          <t>No Lock</t>
        </is>
      </c>
      <c r="B3" s="28" t="inlineStr">
        <is>
          <t>0점</t>
        </is>
      </c>
      <c r="C3" s="28" t="inlineStr">
        <is>
          <t>리스크 없음</t>
        </is>
      </c>
      <c r="E3" s="29">
        <f> 1.0</f>
        <v/>
      </c>
      <c r="F3" s="29" t="inlineStr">
        <is>
          <t>수익으로 APY 100% 커버</t>
        </is>
      </c>
      <c r="G3" s="29" t="inlineStr">
        <is>
          <t>✅ 이상적</t>
        </is>
      </c>
    </row>
    <row r="4" ht="22" customHeight="1">
      <c r="A4" s="29" t="inlineStr">
        <is>
          <t>Lock &lt; 7일</t>
        </is>
      </c>
      <c r="B4" s="29" t="inlineStr">
        <is>
          <t>2점</t>
        </is>
      </c>
      <c r="C4" s="29" t="inlineStr">
        <is>
          <t>낮음</t>
        </is>
      </c>
      <c r="E4" s="30">
        <f> 0.5</f>
        <v/>
      </c>
      <c r="F4" s="30" t="inlineStr">
        <is>
          <t>절반만 실제 수익</t>
        </is>
      </c>
      <c r="G4" s="30" t="inlineStr">
        <is>
          <t>⚠️ 주의</t>
        </is>
      </c>
    </row>
    <row r="5" ht="22" customHeight="1">
      <c r="A5" s="30" t="inlineStr">
        <is>
          <t>Lock 7~30일</t>
        </is>
      </c>
      <c r="B5" s="30" t="inlineStr">
        <is>
          <t>4점</t>
        </is>
      </c>
      <c r="C5" s="30" t="inlineStr">
        <is>
          <t>중간</t>
        </is>
      </c>
      <c r="E5" s="31">
        <f> 0.1</f>
        <v/>
      </c>
      <c r="F5" s="31" t="inlineStr">
        <is>
          <t>10%만 실제 수익</t>
        </is>
      </c>
      <c r="G5" s="31" t="inlineStr">
        <is>
          <t>🚨 대부분 허상</t>
        </is>
      </c>
    </row>
    <row r="6" ht="22" customHeight="1">
      <c r="A6" s="31" t="inlineStr">
        <is>
          <t>Lock 30~90일</t>
        </is>
      </c>
      <c r="B6" s="31" t="inlineStr">
        <is>
          <t>7점</t>
        </is>
      </c>
      <c r="C6" s="31" t="inlineStr">
        <is>
          <t>높음</t>
        </is>
      </c>
      <c r="E6" s="32">
        <f> 0.0</f>
        <v/>
      </c>
      <c r="F6" s="32" t="inlineStr">
        <is>
          <t>수익 없음</t>
        </is>
      </c>
      <c r="G6" s="32" t="inlineStr">
        <is>
          <t>❌ 폰지 가능성</t>
        </is>
      </c>
    </row>
    <row r="7" ht="22" customHeight="1">
      <c r="A7" s="33" t="inlineStr">
        <is>
          <t>Lock &gt; 90일</t>
        </is>
      </c>
      <c r="B7" s="33" t="inlineStr">
        <is>
          <t>9점</t>
        </is>
      </c>
      <c r="C7" s="33" t="inlineStr">
        <is>
          <t>매우 높음</t>
        </is>
      </c>
    </row>
    <row r="8" ht="22" customHeight="1">
      <c r="A8" s="32" t="inlineStr">
        <is>
          <t>Permanent</t>
        </is>
      </c>
      <c r="B8" s="32" t="inlineStr">
        <is>
          <t>10점</t>
        </is>
      </c>
      <c r="C8" s="32" t="inlineStr">
        <is>
          <t>최고 리스크</t>
        </is>
      </c>
    </row>
    <row r="9" ht="22" customHeight="1"/>
    <row r="10" ht="22" customHeight="1">
      <c r="A10" s="34" t="inlineStr">
        <is>
          <t>TVL Concentration (고래 포화도) 가이드</t>
        </is>
      </c>
    </row>
    <row r="11" ht="22" customHeight="1">
      <c r="A11" s="8" t="inlineStr">
        <is>
          <t>Top10_Share</t>
        </is>
      </c>
      <c r="B11" s="8" t="inlineStr">
        <is>
          <t>판단</t>
        </is>
      </c>
      <c r="C11" s="8" t="inlineStr">
        <is>
          <t>조치</t>
        </is>
      </c>
    </row>
    <row r="12" ht="22" customHeight="1">
      <c r="A12" s="29" t="inlineStr">
        <is>
          <t>&lt; 30%</t>
        </is>
      </c>
      <c r="B12" s="29" t="inlineStr">
        <is>
          <t>건전한 분산 구조</t>
        </is>
      </c>
      <c r="C12" s="29" t="inlineStr">
        <is>
          <t>✅ 안전</t>
        </is>
      </c>
    </row>
    <row r="13" ht="22" customHeight="1">
      <c r="A13" s="30" t="inlineStr">
        <is>
          <t>30% ~ 50%</t>
        </is>
      </c>
      <c r="B13" s="30" t="inlineStr">
        <is>
          <t>주의 필요</t>
        </is>
      </c>
      <c r="C13" s="30" t="inlineStr">
        <is>
          <t>⚠️ 모니터링</t>
        </is>
      </c>
    </row>
    <row r="14" ht="22" customHeight="1">
      <c r="A14" s="32" t="inlineStr">
        <is>
          <t>&gt; 50%</t>
        </is>
      </c>
      <c r="B14" s="32" t="inlineStr">
        <is>
          <t>고래 이탈 위험</t>
        </is>
      </c>
      <c r="C14" s="32" t="inlineStr">
        <is>
          <t>🚨 고리스크</t>
        </is>
      </c>
    </row>
  </sheetData>
  <mergeCells count="3">
    <mergeCell ref="A1:C1"/>
    <mergeCell ref="E1:G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2026-04-20T09:07:43Z</dcterms:created>
  <dcterms:modified xmlns:dcterms="http://purl.org/dc/terms/" xmlns:xsi="http://www.w3.org/2001/XMLSchema-instance" xsi:type="dcterms:W3CDTF">2026-04-20T09:07:43Z</dcterms:modified>
</cp:coreProperties>
</file>